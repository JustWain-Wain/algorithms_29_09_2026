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D7F4CC5-8ECD-4FCD-BAEE-7AA35FB2D980}" xr6:coauthVersionLast="47" xr6:coauthVersionMax="47" xr10:uidLastSave="{00000000-0000-0000-0000-000000000000}"/>
  <bookViews>
    <workbookView xWindow="-98" yWindow="-98" windowWidth="23236" windowHeight="14595" xr2:uid="{548AD1D6-21AA-494E-BEA6-15397A7F57D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2" i="1" l="1"/>
  <c r="B62" i="1"/>
  <c r="C56" i="1"/>
  <c r="C54" i="1"/>
  <c r="C55" i="1"/>
  <c r="C57" i="1"/>
  <c r="C58" i="1"/>
  <c r="C59" i="1"/>
  <c r="C60" i="1"/>
  <c r="B55" i="1"/>
  <c r="B56" i="1"/>
  <c r="B57" i="1"/>
  <c r="B58" i="1"/>
  <c r="B59" i="1"/>
  <c r="B60" i="1"/>
  <c r="B54" i="1"/>
  <c r="H2" i="1"/>
  <c r="H26" i="1"/>
  <c r="G24" i="1"/>
  <c r="G25" i="1"/>
  <c r="G26" i="1"/>
  <c r="G27" i="1"/>
  <c r="G28" i="1"/>
  <c r="G23" i="1"/>
  <c r="H3" i="1"/>
  <c r="H4" i="1"/>
  <c r="H5" i="1"/>
  <c r="H6" i="1"/>
  <c r="H7" i="1"/>
  <c r="H8" i="1"/>
  <c r="H12" i="1"/>
  <c r="H13" i="1"/>
  <c r="H14" i="1"/>
  <c r="H15" i="1"/>
  <c r="H16" i="1"/>
  <c r="H17" i="1"/>
  <c r="H11" i="1"/>
  <c r="G3" i="1"/>
  <c r="G4" i="1"/>
  <c r="G5" i="1"/>
  <c r="G6" i="1"/>
  <c r="G7" i="1"/>
  <c r="G8" i="1"/>
  <c r="G11" i="1"/>
  <c r="G12" i="1"/>
  <c r="G13" i="1"/>
  <c r="G14" i="1"/>
  <c r="G15" i="1"/>
  <c r="G16" i="1"/>
  <c r="G17" i="1"/>
  <c r="G2" i="1"/>
</calcChain>
</file>

<file path=xl/sharedStrings.xml><?xml version="1.0" encoding="utf-8"?>
<sst xmlns="http://schemas.openxmlformats.org/spreadsheetml/2006/main" count="9" uniqueCount="6">
  <si>
    <t>N</t>
  </si>
  <si>
    <t>Bubble</t>
  </si>
  <si>
    <t>Merge</t>
  </si>
  <si>
    <t>Среднее</t>
  </si>
  <si>
    <t>Заявленная сложность</t>
  </si>
  <si>
    <t>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</si>
</sst>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Лист1!$A$2:$A$8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xVal>
          <c:yVal>
            <c:numRef>
              <c:f>Лист1!$G$2:$G$8</c:f>
              <c:numCache>
                <c:formatCode>General</c:formatCode>
                <c:ptCount val="7"/>
                <c:pt idx="0">
                  <c:v>15084</c:v>
                </c:pt>
                <c:pt idx="1">
                  <c:v>38592</c:v>
                </c:pt>
                <c:pt idx="2">
                  <c:v>133952</c:v>
                </c:pt>
                <c:pt idx="3">
                  <c:v>979956</c:v>
                </c:pt>
                <c:pt idx="4">
                  <c:v>1541064</c:v>
                </c:pt>
                <c:pt idx="5">
                  <c:v>9707064</c:v>
                </c:pt>
                <c:pt idx="6">
                  <c:v>21328064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56-44D2-8C9C-10145C400B41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Лист1!$A$2:$A$8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xVal>
          <c:yVal>
            <c:numRef>
              <c:f>Лист1!$H$2:$H$8</c:f>
              <c:numCache>
                <c:formatCode>General</c:formatCode>
                <c:ptCount val="7"/>
                <c:pt idx="0">
                  <c:v>460.51701859880916</c:v>
                </c:pt>
                <c:pt idx="1">
                  <c:v>3107.3040492110958</c:v>
                </c:pt>
                <c:pt idx="2">
                  <c:v>6907.7552789821366</c:v>
                </c:pt>
                <c:pt idx="3">
                  <c:v>42585.965957081193</c:v>
                </c:pt>
                <c:pt idx="4">
                  <c:v>92103.403719761831</c:v>
                </c:pt>
                <c:pt idx="5">
                  <c:v>540988.91422051413</c:v>
                </c:pt>
                <c:pt idx="6">
                  <c:v>1151292.546497023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56-44D2-8C9C-10145C400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47600"/>
        <c:axId val="274407664"/>
      </c:scatterChart>
      <c:valAx>
        <c:axId val="4554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4407664"/>
        <c:crosses val="autoZero"/>
        <c:crossBetween val="midCat"/>
      </c:valAx>
      <c:valAx>
        <c:axId val="27440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54760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Bubble</a:t>
            </a:r>
            <a:r>
              <a:rPr lang="en-US" baseline="0"/>
              <a:t> sort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Лист1!$A$11:$A$17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xVal>
          <c:yVal>
            <c:numRef>
              <c:f>Лист1!$G$11:$G$17</c:f>
              <c:numCache>
                <c:formatCode>General</c:formatCode>
                <c:ptCount val="7"/>
                <c:pt idx="0">
                  <c:v>14840</c:v>
                </c:pt>
                <c:pt idx="1">
                  <c:v>395652</c:v>
                </c:pt>
                <c:pt idx="2">
                  <c:v>1514792</c:v>
                </c:pt>
                <c:pt idx="3">
                  <c:v>29925764</c:v>
                </c:pt>
                <c:pt idx="4">
                  <c:v>186424612</c:v>
                </c:pt>
                <c:pt idx="5">
                  <c:v>6655772532</c:v>
                </c:pt>
                <c:pt idx="6">
                  <c:v>30358025536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AD-40E6-9D0B-C8E74A8AC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699232"/>
        <c:axId val="274310224"/>
      </c:scatterChart>
      <c:valAx>
        <c:axId val="690699232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4310224"/>
        <c:crosses val="autoZero"/>
        <c:crossBetween val="midCat"/>
        <c:majorUnit val="10000"/>
      </c:valAx>
      <c:valAx>
        <c:axId val="27431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нс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069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Лист1!$A$2:$A$8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xVal>
          <c:yVal>
            <c:numRef>
              <c:f>Лист1!$H$2:$H$8</c:f>
              <c:numCache>
                <c:formatCode>General</c:formatCode>
                <c:ptCount val="7"/>
                <c:pt idx="0">
                  <c:v>460.51701859880916</c:v>
                </c:pt>
                <c:pt idx="1">
                  <c:v>3107.3040492110958</c:v>
                </c:pt>
                <c:pt idx="2">
                  <c:v>6907.7552789821366</c:v>
                </c:pt>
                <c:pt idx="3">
                  <c:v>42585.965957081193</c:v>
                </c:pt>
                <c:pt idx="4">
                  <c:v>92103.403719761831</c:v>
                </c:pt>
                <c:pt idx="5">
                  <c:v>540988.91422051413</c:v>
                </c:pt>
                <c:pt idx="6">
                  <c:v>1151292.546497023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E4-49AB-A17A-59F8B29D7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47600"/>
        <c:axId val="274407664"/>
      </c:scatterChart>
      <c:valAx>
        <c:axId val="4554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4407664"/>
        <c:crosses val="autoZero"/>
        <c:crossBetween val="midCat"/>
      </c:valAx>
      <c:valAx>
        <c:axId val="27440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547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Bubble</c:v>
          </c:tx>
          <c:xVal>
            <c:numRef>
              <c:f>Лист1!$A$45:$A$51</c:f>
              <c:numCache>
                <c:formatCode>General</c:formatCode>
                <c:ptCount val="7"/>
                <c:pt idx="0">
                  <c:v>1280</c:v>
                </c:pt>
                <c:pt idx="1">
                  <c:v>2560</c:v>
                </c:pt>
                <c:pt idx="2">
                  <c:v>5120</c:v>
                </c:pt>
                <c:pt idx="3">
                  <c:v>10240</c:v>
                </c:pt>
                <c:pt idx="4">
                  <c:v>20480</c:v>
                </c:pt>
                <c:pt idx="5">
                  <c:v>40960</c:v>
                </c:pt>
                <c:pt idx="6">
                  <c:v>81920</c:v>
                </c:pt>
              </c:numCache>
            </c:numRef>
          </c:xVal>
          <c:yVal>
            <c:numRef>
              <c:f>Лист1!$B$45:$B$51</c:f>
              <c:numCache>
                <c:formatCode>General</c:formatCode>
                <c:ptCount val="7"/>
                <c:pt idx="0">
                  <c:v>2949200</c:v>
                </c:pt>
                <c:pt idx="1">
                  <c:v>7269440</c:v>
                </c:pt>
                <c:pt idx="2">
                  <c:v>36166620</c:v>
                </c:pt>
                <c:pt idx="3">
                  <c:v>250213600</c:v>
                </c:pt>
                <c:pt idx="4">
                  <c:v>1022277500</c:v>
                </c:pt>
                <c:pt idx="5">
                  <c:v>5010989400</c:v>
                </c:pt>
                <c:pt idx="6">
                  <c:v>20741639640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48D-428B-9ACC-A3B8480AC7E2}"/>
            </c:ext>
          </c:extLst>
        </c:ser>
        <c:ser>
          <c:idx val="2"/>
          <c:order val="1"/>
          <c:tx>
            <c:v>Merge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Лист1!$A$45:$A$51</c:f>
              <c:numCache>
                <c:formatCode>General</c:formatCode>
                <c:ptCount val="7"/>
                <c:pt idx="0">
                  <c:v>1280</c:v>
                </c:pt>
                <c:pt idx="1">
                  <c:v>2560</c:v>
                </c:pt>
                <c:pt idx="2">
                  <c:v>5120</c:v>
                </c:pt>
                <c:pt idx="3">
                  <c:v>10240</c:v>
                </c:pt>
                <c:pt idx="4">
                  <c:v>20480</c:v>
                </c:pt>
                <c:pt idx="5">
                  <c:v>40960</c:v>
                </c:pt>
                <c:pt idx="6">
                  <c:v>81920</c:v>
                </c:pt>
              </c:numCache>
            </c:numRef>
          </c:xVal>
          <c:yVal>
            <c:numRef>
              <c:f>Лист1!$C$45:$C$51</c:f>
              <c:numCache>
                <c:formatCode>General</c:formatCode>
                <c:ptCount val="7"/>
                <c:pt idx="0">
                  <c:v>229880</c:v>
                </c:pt>
                <c:pt idx="1">
                  <c:v>300100</c:v>
                </c:pt>
                <c:pt idx="2">
                  <c:v>1966700</c:v>
                </c:pt>
                <c:pt idx="3">
                  <c:v>1515360</c:v>
                </c:pt>
                <c:pt idx="4">
                  <c:v>3309920</c:v>
                </c:pt>
                <c:pt idx="5">
                  <c:v>7510560</c:v>
                </c:pt>
                <c:pt idx="6">
                  <c:v>16303980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48D-428B-9ACC-A3B8480AC7E2}"/>
            </c:ext>
          </c:extLst>
        </c:ser>
        <c:ser>
          <c:idx val="0"/>
          <c:order val="2"/>
          <c:tx>
            <c:v>Array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Лист1!$E$72:$E$78</c:f>
              <c:numCache>
                <c:formatCode>General</c:formatCode>
                <c:ptCount val="7"/>
                <c:pt idx="0">
                  <c:v>1280</c:v>
                </c:pt>
                <c:pt idx="1">
                  <c:v>2560</c:v>
                </c:pt>
                <c:pt idx="2">
                  <c:v>5120</c:v>
                </c:pt>
                <c:pt idx="3">
                  <c:v>10240</c:v>
                </c:pt>
                <c:pt idx="4">
                  <c:v>20480</c:v>
                </c:pt>
                <c:pt idx="5">
                  <c:v>40960</c:v>
                </c:pt>
                <c:pt idx="6">
                  <c:v>81920</c:v>
                </c:pt>
              </c:numCache>
            </c:numRef>
          </c:xVal>
          <c:yVal>
            <c:numRef>
              <c:f>Лист1!$F$72:$F$78</c:f>
              <c:numCache>
                <c:formatCode>General</c:formatCode>
                <c:ptCount val="7"/>
                <c:pt idx="0">
                  <c:v>1171520</c:v>
                </c:pt>
                <c:pt idx="1">
                  <c:v>224720</c:v>
                </c:pt>
                <c:pt idx="2">
                  <c:v>384440</c:v>
                </c:pt>
                <c:pt idx="3">
                  <c:v>864840</c:v>
                </c:pt>
                <c:pt idx="4">
                  <c:v>1312280</c:v>
                </c:pt>
                <c:pt idx="5">
                  <c:v>1954040</c:v>
                </c:pt>
                <c:pt idx="6">
                  <c:v>4247780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48D-428B-9ACC-A3B8480AC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182912"/>
        <c:axId val="727590224"/>
      </c:scatterChart>
      <c:valAx>
        <c:axId val="72618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7590224"/>
        <c:crosses val="autoZero"/>
        <c:crossBetween val="midCat"/>
      </c:valAx>
      <c:valAx>
        <c:axId val="72759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6182912"/>
        <c:crosses val="autoZero"/>
        <c:crossBetween val="midCat"/>
        <c:majorUnit val="10000000000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Array sort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Лист1!$E$72:$E$78</c:f>
              <c:numCache>
                <c:formatCode>General</c:formatCode>
                <c:ptCount val="7"/>
                <c:pt idx="0">
                  <c:v>1280</c:v>
                </c:pt>
                <c:pt idx="1">
                  <c:v>2560</c:v>
                </c:pt>
                <c:pt idx="2">
                  <c:v>5120</c:v>
                </c:pt>
                <c:pt idx="3">
                  <c:v>10240</c:v>
                </c:pt>
                <c:pt idx="4">
                  <c:v>20480</c:v>
                </c:pt>
                <c:pt idx="5">
                  <c:v>40960</c:v>
                </c:pt>
                <c:pt idx="6">
                  <c:v>81920</c:v>
                </c:pt>
              </c:numCache>
            </c:numRef>
          </c:xVal>
          <c:yVal>
            <c:numRef>
              <c:f>Лист1!$F$72:$F$78</c:f>
              <c:numCache>
                <c:formatCode>General</c:formatCode>
                <c:ptCount val="7"/>
                <c:pt idx="0">
                  <c:v>1171520</c:v>
                </c:pt>
                <c:pt idx="1">
                  <c:v>224720</c:v>
                </c:pt>
                <c:pt idx="2">
                  <c:v>384440</c:v>
                </c:pt>
                <c:pt idx="3">
                  <c:v>864840</c:v>
                </c:pt>
                <c:pt idx="4">
                  <c:v>1312280</c:v>
                </c:pt>
                <c:pt idx="5">
                  <c:v>1954040</c:v>
                </c:pt>
                <c:pt idx="6">
                  <c:v>4247780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07-485F-A7B3-9E163F2A5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182912"/>
        <c:axId val="727590224"/>
      </c:scatterChart>
      <c:valAx>
        <c:axId val="72618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7590224"/>
        <c:crosses val="autoZero"/>
        <c:crossBetween val="midCat"/>
      </c:valAx>
      <c:valAx>
        <c:axId val="72759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618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278606</xdr:colOff>
      <xdr:row>4</xdr:row>
      <xdr:rowOff>107155</xdr:rowOff>
    </xdr:from>
    <xdr:to>
      <xdr:col>12</xdr:col>
      <xdr:colOff>831056</xdr:colOff>
      <xdr:row>20</xdr:row>
      <xdr:rowOff>30955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3BE117F-FE78-ACC1-4729-C6D9F36BC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327771</xdr:colOff>
      <xdr:row>21</xdr:row>
      <xdr:rowOff>107576</xdr:rowOff>
    </xdr:from>
    <xdr:to>
      <xdr:col>12</xdr:col>
      <xdr:colOff>888065</xdr:colOff>
      <xdr:row>37</xdr:row>
      <xdr:rowOff>71717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7A19745-40AD-3AA5-C0BE-15F4AE358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330992</xdr:colOff>
      <xdr:row>4</xdr:row>
      <xdr:rowOff>83344</xdr:rowOff>
    </xdr:from>
    <xdr:to>
      <xdr:col>17</xdr:col>
      <xdr:colOff>883442</xdr:colOff>
      <xdr:row>20</xdr:row>
      <xdr:rowOff>7144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3939A47-71EE-61C4-A059-1E28B3B82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739222</xdr:colOff>
      <xdr:row>39</xdr:row>
      <xdr:rowOff>175177</xdr:rowOff>
    </xdr:from>
    <xdr:to>
      <xdr:col>7</xdr:col>
      <xdr:colOff>1285874</xdr:colOff>
      <xdr:row>55</xdr:row>
      <xdr:rowOff>69160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B22285F-0816-0329-529A-E8AA1C8CD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349939</xdr:colOff>
      <xdr:row>58</xdr:row>
      <xdr:rowOff>84068</xdr:rowOff>
    </xdr:from>
    <xdr:to>
      <xdr:col>10</xdr:col>
      <xdr:colOff>507309</xdr:colOff>
      <xdr:row>73</xdr:row>
      <xdr:rowOff>156126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5B2BDC98-D227-50AA-8F2C-3B6B60479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8587-BA2C-4C4C-BA7B-FC3A8298CE51}">
  <dimension ref="A1:H78"/>
  <sheetViews>
    <sheetView tabSelected="1" topLeftCell="A38" zoomScale="115" zoomScaleNormal="115" workbookViewId="0">
      <selection activeCell="E60" sqref="E60"/>
    </sheetView>
  </sheetViews>
  <sheetFormatPr defaultColWidth="14.06640625" defaultRowHeight="13.9" customHeight="1" x14ac:dyDescent="0.45"/>
  <cols>
    <col min="1" max="1" width="14.06640625" style="1"/>
    <col min="8" max="8" width="19.53125" bestFit="1" customWidth="1"/>
  </cols>
  <sheetData>
    <row r="1" spans="1:8" ht="13.9" customHeight="1" thickBot="1" x14ac:dyDescent="0.5">
      <c r="A1" s="9" t="s">
        <v>0</v>
      </c>
      <c r="B1" s="10" t="s">
        <v>2</v>
      </c>
      <c r="C1" s="11"/>
      <c r="D1" s="11"/>
      <c r="E1" s="11"/>
      <c r="F1" s="12"/>
      <c r="G1" t="s">
        <v>3</v>
      </c>
      <c r="H1" t="s">
        <v>4</v>
      </c>
    </row>
    <row r="2" spans="1:8" ht="13.9" customHeight="1" x14ac:dyDescent="0.45">
      <c r="A2" s="1">
        <v>100</v>
      </c>
      <c r="B2" s="2">
        <v>2900</v>
      </c>
      <c r="C2" s="3">
        <v>10160</v>
      </c>
      <c r="D2" s="3">
        <v>7980</v>
      </c>
      <c r="E2" s="3">
        <v>43900</v>
      </c>
      <c r="F2" s="4">
        <v>10480</v>
      </c>
      <c r="G2">
        <f>SUM(B2:F2)/5</f>
        <v>15084</v>
      </c>
      <c r="H2">
        <f>A2*LN(A2)</f>
        <v>460.51701859880916</v>
      </c>
    </row>
    <row r="3" spans="1:8" ht="13.9" customHeight="1" x14ac:dyDescent="0.45">
      <c r="A3" s="1">
        <v>500</v>
      </c>
      <c r="B3" s="2">
        <v>17060</v>
      </c>
      <c r="C3" s="3">
        <v>39000</v>
      </c>
      <c r="D3" s="3">
        <v>57660</v>
      </c>
      <c r="E3" s="3">
        <v>41440</v>
      </c>
      <c r="F3" s="4">
        <v>37800</v>
      </c>
      <c r="G3">
        <f t="shared" ref="G3:G17" si="0">SUM(B3:F3)/5</f>
        <v>38592</v>
      </c>
      <c r="H3">
        <f t="shared" ref="H3:H8" si="1">A3*LN(A3)</f>
        <v>3107.3040492110958</v>
      </c>
    </row>
    <row r="4" spans="1:8" ht="13.9" customHeight="1" x14ac:dyDescent="0.45">
      <c r="A4" s="1">
        <v>1000</v>
      </c>
      <c r="B4" s="2">
        <v>45820</v>
      </c>
      <c r="C4" s="3">
        <v>96460</v>
      </c>
      <c r="D4" s="3">
        <v>299320</v>
      </c>
      <c r="E4" s="3">
        <v>101360</v>
      </c>
      <c r="F4" s="4">
        <v>126800</v>
      </c>
      <c r="G4">
        <f t="shared" si="0"/>
        <v>133952</v>
      </c>
      <c r="H4">
        <f t="shared" si="1"/>
        <v>6907.7552789821366</v>
      </c>
    </row>
    <row r="5" spans="1:8" ht="13.9" customHeight="1" x14ac:dyDescent="0.45">
      <c r="A5" s="1">
        <v>5000</v>
      </c>
      <c r="B5" s="2">
        <v>314320</v>
      </c>
      <c r="C5" s="3">
        <v>1811080</v>
      </c>
      <c r="D5" s="3">
        <v>1214540</v>
      </c>
      <c r="E5" s="3">
        <v>727580</v>
      </c>
      <c r="F5" s="4">
        <v>832260</v>
      </c>
      <c r="G5">
        <f t="shared" si="0"/>
        <v>979956</v>
      </c>
      <c r="H5">
        <f t="shared" si="1"/>
        <v>42585.965957081193</v>
      </c>
    </row>
    <row r="6" spans="1:8" ht="13.9" customHeight="1" x14ac:dyDescent="0.45">
      <c r="A6" s="1">
        <v>10000</v>
      </c>
      <c r="B6" s="2">
        <v>667340</v>
      </c>
      <c r="C6" s="3">
        <v>1707980</v>
      </c>
      <c r="D6" s="3">
        <v>1550440</v>
      </c>
      <c r="E6" s="3">
        <v>1952280</v>
      </c>
      <c r="F6" s="4">
        <v>1827280</v>
      </c>
      <c r="G6">
        <f t="shared" si="0"/>
        <v>1541064</v>
      </c>
      <c r="H6">
        <f t="shared" si="1"/>
        <v>92103.403719761831</v>
      </c>
    </row>
    <row r="7" spans="1:8" ht="13.9" customHeight="1" x14ac:dyDescent="0.45">
      <c r="A7" s="1">
        <v>50000</v>
      </c>
      <c r="B7" s="2">
        <v>8011660</v>
      </c>
      <c r="C7" s="3">
        <v>9941660</v>
      </c>
      <c r="D7" s="3">
        <v>11799920</v>
      </c>
      <c r="E7" s="3">
        <v>10015340</v>
      </c>
      <c r="F7" s="4">
        <v>8766740</v>
      </c>
      <c r="G7">
        <f t="shared" si="0"/>
        <v>9707064</v>
      </c>
      <c r="H7">
        <f t="shared" si="1"/>
        <v>540988.91422051413</v>
      </c>
    </row>
    <row r="8" spans="1:8" ht="13.9" customHeight="1" x14ac:dyDescent="0.45">
      <c r="A8" s="1">
        <v>100000</v>
      </c>
      <c r="B8" s="2">
        <v>16031900</v>
      </c>
      <c r="C8" s="3">
        <v>23367480</v>
      </c>
      <c r="D8" s="3">
        <v>21801200</v>
      </c>
      <c r="E8" s="3">
        <v>19012480</v>
      </c>
      <c r="F8" s="4">
        <v>26427260</v>
      </c>
      <c r="G8">
        <f t="shared" si="0"/>
        <v>21328064</v>
      </c>
      <c r="H8">
        <f t="shared" si="1"/>
        <v>1151292.546497023</v>
      </c>
    </row>
    <row r="9" spans="1:8" ht="13.9" customHeight="1" thickBot="1" x14ac:dyDescent="0.5">
      <c r="B9" s="2"/>
      <c r="C9" s="3"/>
      <c r="D9" s="3"/>
      <c r="E9" s="3"/>
      <c r="F9" s="4"/>
    </row>
    <row r="10" spans="1:8" ht="13.9" customHeight="1" thickBot="1" x14ac:dyDescent="0.5">
      <c r="A10" s="9"/>
      <c r="B10" s="10" t="s">
        <v>1</v>
      </c>
      <c r="C10" s="11"/>
      <c r="D10" s="11"/>
      <c r="E10" s="11"/>
      <c r="F10" s="12"/>
    </row>
    <row r="11" spans="1:8" ht="13.9" customHeight="1" x14ac:dyDescent="0.45">
      <c r="A11" s="1">
        <v>100</v>
      </c>
      <c r="B11" s="2">
        <v>7020</v>
      </c>
      <c r="C11" s="3">
        <v>16920</v>
      </c>
      <c r="D11" s="3">
        <v>14680</v>
      </c>
      <c r="E11" s="3">
        <v>17080</v>
      </c>
      <c r="F11" s="4">
        <v>18500</v>
      </c>
      <c r="G11">
        <f t="shared" si="0"/>
        <v>14840</v>
      </c>
      <c r="H11">
        <f>A11^2</f>
        <v>10000</v>
      </c>
    </row>
    <row r="12" spans="1:8" ht="13.9" customHeight="1" x14ac:dyDescent="0.45">
      <c r="A12" s="1">
        <v>500</v>
      </c>
      <c r="B12" s="2">
        <v>187980</v>
      </c>
      <c r="C12" s="3">
        <v>466020</v>
      </c>
      <c r="D12" s="3">
        <v>493740</v>
      </c>
      <c r="E12" s="3">
        <v>427620</v>
      </c>
      <c r="F12" s="4">
        <v>402900</v>
      </c>
      <c r="G12">
        <f t="shared" si="0"/>
        <v>395652</v>
      </c>
      <c r="H12">
        <f t="shared" ref="H12:H17" si="2">A12^2</f>
        <v>250000</v>
      </c>
    </row>
    <row r="13" spans="1:8" ht="13.9" customHeight="1" x14ac:dyDescent="0.45">
      <c r="A13" s="1">
        <v>1000</v>
      </c>
      <c r="B13" s="2">
        <v>605440</v>
      </c>
      <c r="C13" s="3">
        <v>1311100</v>
      </c>
      <c r="D13" s="3">
        <v>2747340</v>
      </c>
      <c r="E13" s="3">
        <v>1350680</v>
      </c>
      <c r="F13" s="4">
        <v>1559400</v>
      </c>
      <c r="G13">
        <f t="shared" si="0"/>
        <v>1514792</v>
      </c>
      <c r="H13">
        <f t="shared" si="2"/>
        <v>1000000</v>
      </c>
    </row>
    <row r="14" spans="1:8" ht="13.9" customHeight="1" x14ac:dyDescent="0.45">
      <c r="A14" s="1">
        <v>5000</v>
      </c>
      <c r="B14" s="2">
        <v>13632440</v>
      </c>
      <c r="C14" s="3">
        <v>34619460</v>
      </c>
      <c r="D14" s="3">
        <v>35032140</v>
      </c>
      <c r="E14" s="3">
        <v>35711560</v>
      </c>
      <c r="F14" s="4">
        <v>30633220</v>
      </c>
      <c r="G14">
        <f t="shared" si="0"/>
        <v>29925764</v>
      </c>
      <c r="H14">
        <f t="shared" si="2"/>
        <v>25000000</v>
      </c>
    </row>
    <row r="15" spans="1:8" ht="13.9" customHeight="1" x14ac:dyDescent="0.45">
      <c r="A15" s="1">
        <v>10000</v>
      </c>
      <c r="B15" s="2">
        <v>87019280</v>
      </c>
      <c r="C15" s="3">
        <v>201623180</v>
      </c>
      <c r="D15" s="3">
        <v>240102000</v>
      </c>
      <c r="E15" s="3">
        <v>210807520</v>
      </c>
      <c r="F15" s="4">
        <v>192571080</v>
      </c>
      <c r="G15">
        <f t="shared" si="0"/>
        <v>186424612</v>
      </c>
      <c r="H15">
        <f t="shared" si="2"/>
        <v>100000000</v>
      </c>
    </row>
    <row r="16" spans="1:8" ht="13.9" customHeight="1" x14ac:dyDescent="0.45">
      <c r="A16" s="1">
        <v>50000</v>
      </c>
      <c r="B16" s="2">
        <v>3901522220</v>
      </c>
      <c r="C16" s="3">
        <v>6547624300</v>
      </c>
      <c r="D16" s="3">
        <v>9377695540</v>
      </c>
      <c r="E16" s="3">
        <v>6454910500</v>
      </c>
      <c r="F16" s="4">
        <v>6997110100</v>
      </c>
      <c r="G16">
        <f t="shared" si="0"/>
        <v>6655772532</v>
      </c>
      <c r="H16">
        <f t="shared" si="2"/>
        <v>2500000000</v>
      </c>
    </row>
    <row r="17" spans="1:8" ht="13.9" customHeight="1" thickBot="1" x14ac:dyDescent="0.5">
      <c r="A17" s="8">
        <v>100000</v>
      </c>
      <c r="B17" s="5">
        <v>18891242060</v>
      </c>
      <c r="C17" s="6">
        <v>29768583240</v>
      </c>
      <c r="D17" s="6">
        <v>30162866740</v>
      </c>
      <c r="E17" s="6">
        <v>38408122640</v>
      </c>
      <c r="F17" s="7">
        <v>34559313000</v>
      </c>
      <c r="G17">
        <f t="shared" si="0"/>
        <v>30358025536</v>
      </c>
      <c r="H17">
        <f t="shared" si="2"/>
        <v>10000000000</v>
      </c>
    </row>
    <row r="23" spans="1:8" ht="13.9" customHeight="1" x14ac:dyDescent="0.45">
      <c r="G23">
        <f>G3/G2</f>
        <v>2.5584725536992838</v>
      </c>
    </row>
    <row r="24" spans="1:8" ht="13.9" customHeight="1" x14ac:dyDescent="0.45">
      <c r="G24">
        <f t="shared" ref="G24:G31" si="3">G4/G3</f>
        <v>3.4709784411276949</v>
      </c>
    </row>
    <row r="25" spans="1:8" ht="13.9" customHeight="1" x14ac:dyDescent="0.45">
      <c r="G25">
        <f t="shared" si="3"/>
        <v>7.3157250358337311</v>
      </c>
    </row>
    <row r="26" spans="1:8" ht="13.9" customHeight="1" x14ac:dyDescent="0.45">
      <c r="G26">
        <f t="shared" si="3"/>
        <v>1.5725848915665601</v>
      </c>
      <c r="H26">
        <f>SUM(G23:G28)/6</f>
        <v>3.902311107188615</v>
      </c>
    </row>
    <row r="27" spans="1:8" ht="13.9" customHeight="1" x14ac:dyDescent="0.45">
      <c r="G27">
        <f t="shared" si="3"/>
        <v>6.2989363193222347</v>
      </c>
    </row>
    <row r="28" spans="1:8" ht="13.9" customHeight="1" x14ac:dyDescent="0.45">
      <c r="G28">
        <f t="shared" si="3"/>
        <v>2.1971694015821881</v>
      </c>
    </row>
    <row r="44" spans="1:3" ht="13.9" customHeight="1" x14ac:dyDescent="0.45">
      <c r="A44" s="1" t="s">
        <v>0</v>
      </c>
      <c r="B44" t="s">
        <v>1</v>
      </c>
      <c r="C44" t="s">
        <v>2</v>
      </c>
    </row>
    <row r="45" spans="1:3" ht="13.9" customHeight="1" x14ac:dyDescent="0.45">
      <c r="A45" s="1">
        <v>1280</v>
      </c>
      <c r="B45">
        <v>2949200</v>
      </c>
      <c r="C45">
        <v>229880</v>
      </c>
    </row>
    <row r="46" spans="1:3" ht="13.9" customHeight="1" x14ac:dyDescent="0.45">
      <c r="A46" s="1">
        <v>2560</v>
      </c>
      <c r="B46">
        <v>7269440</v>
      </c>
      <c r="C46">
        <v>300100</v>
      </c>
    </row>
    <row r="47" spans="1:3" ht="13.9" customHeight="1" x14ac:dyDescent="0.45">
      <c r="A47" s="1">
        <v>5120</v>
      </c>
      <c r="B47">
        <v>36166620</v>
      </c>
      <c r="C47">
        <v>1966700</v>
      </c>
    </row>
    <row r="48" spans="1:3" ht="13.9" customHeight="1" x14ac:dyDescent="0.45">
      <c r="A48" s="1">
        <v>10240</v>
      </c>
      <c r="B48">
        <v>250213600</v>
      </c>
      <c r="C48">
        <v>1515360</v>
      </c>
    </row>
    <row r="49" spans="1:3" ht="13.9" customHeight="1" x14ac:dyDescent="0.45">
      <c r="A49" s="1">
        <v>20480</v>
      </c>
      <c r="B49">
        <v>1022277500</v>
      </c>
      <c r="C49">
        <v>3309920</v>
      </c>
    </row>
    <row r="50" spans="1:3" ht="13.9" customHeight="1" x14ac:dyDescent="0.45">
      <c r="A50" s="1">
        <v>40960</v>
      </c>
      <c r="B50">
        <v>5010989400</v>
      </c>
      <c r="C50">
        <v>7510560</v>
      </c>
    </row>
    <row r="51" spans="1:3" ht="13.9" customHeight="1" x14ac:dyDescent="0.45">
      <c r="A51" s="1">
        <v>81920</v>
      </c>
      <c r="B51">
        <v>20741639640</v>
      </c>
      <c r="C51">
        <v>16303980</v>
      </c>
    </row>
    <row r="54" spans="1:3" ht="13.9" customHeight="1" x14ac:dyDescent="0.45">
      <c r="B54">
        <f>B46/B45</f>
        <v>2.4648853926488541</v>
      </c>
      <c r="C54">
        <f>C46/C45</f>
        <v>1.3054637202018444</v>
      </c>
    </row>
    <row r="55" spans="1:3" ht="13.9" customHeight="1" x14ac:dyDescent="0.45">
      <c r="B55">
        <f t="shared" ref="B55:C60" si="4">B47/B46</f>
        <v>4.9751590218778885</v>
      </c>
      <c r="C55">
        <f t="shared" si="4"/>
        <v>6.5534821726091304</v>
      </c>
    </row>
    <row r="56" spans="1:3" ht="13.9" customHeight="1" x14ac:dyDescent="0.45">
      <c r="B56">
        <f t="shared" si="4"/>
        <v>6.9183573140094374</v>
      </c>
      <c r="C56">
        <f>C48/C47</f>
        <v>0.77050897442416233</v>
      </c>
    </row>
    <row r="57" spans="1:3" ht="13.9" customHeight="1" x14ac:dyDescent="0.45">
      <c r="B57">
        <f t="shared" si="4"/>
        <v>4.0856192469154351</v>
      </c>
      <c r="C57">
        <f t="shared" si="4"/>
        <v>2.1842466476612818</v>
      </c>
    </row>
    <row r="58" spans="1:3" ht="13.9" customHeight="1" x14ac:dyDescent="0.45">
      <c r="B58">
        <f t="shared" si="4"/>
        <v>4.9017897782157975</v>
      </c>
      <c r="C58">
        <f t="shared" si="4"/>
        <v>2.2691062019625852</v>
      </c>
    </row>
    <row r="59" spans="1:3" ht="13.9" customHeight="1" x14ac:dyDescent="0.45">
      <c r="B59">
        <f t="shared" si="4"/>
        <v>4.139230396296588</v>
      </c>
      <c r="C59">
        <f t="shared" si="4"/>
        <v>2.1708075030357259</v>
      </c>
    </row>
    <row r="60" spans="1:3" ht="13.9" customHeight="1" x14ac:dyDescent="0.45">
      <c r="B60">
        <f t="shared" si="4"/>
        <v>0</v>
      </c>
      <c r="C60">
        <f t="shared" si="4"/>
        <v>0</v>
      </c>
    </row>
    <row r="62" spans="1:3" ht="13.9" customHeight="1" x14ac:dyDescent="0.45">
      <c r="B62">
        <f>SUM(B54:B59)/6</f>
        <v>4.5808401916606662</v>
      </c>
      <c r="C62">
        <f>SUM(C54:C59)/6</f>
        <v>2.5422692033157883</v>
      </c>
    </row>
    <row r="71" spans="5:6" ht="13.9" customHeight="1" x14ac:dyDescent="0.45">
      <c r="F71" t="s">
        <v>5</v>
      </c>
    </row>
    <row r="72" spans="5:6" ht="13.9" customHeight="1" x14ac:dyDescent="0.45">
      <c r="E72">
        <v>1280</v>
      </c>
      <c r="F72">
        <v>1171520</v>
      </c>
    </row>
    <row r="73" spans="5:6" ht="13.9" customHeight="1" x14ac:dyDescent="0.45">
      <c r="E73">
        <v>2560</v>
      </c>
      <c r="F73">
        <v>224720</v>
      </c>
    </row>
    <row r="74" spans="5:6" ht="13.9" customHeight="1" x14ac:dyDescent="0.45">
      <c r="E74">
        <v>5120</v>
      </c>
      <c r="F74">
        <v>384440</v>
      </c>
    </row>
    <row r="75" spans="5:6" ht="13.9" customHeight="1" x14ac:dyDescent="0.45">
      <c r="E75">
        <v>10240</v>
      </c>
      <c r="F75">
        <v>864840</v>
      </c>
    </row>
    <row r="76" spans="5:6" ht="13.9" customHeight="1" x14ac:dyDescent="0.45">
      <c r="E76">
        <v>20480</v>
      </c>
      <c r="F76">
        <v>1312280</v>
      </c>
    </row>
    <row r="77" spans="5:6" ht="13.9" customHeight="1" x14ac:dyDescent="0.45">
      <c r="E77">
        <v>40960</v>
      </c>
      <c r="F77">
        <v>1954040</v>
      </c>
    </row>
    <row r="78" spans="5:6" ht="13.9" customHeight="1" x14ac:dyDescent="0.45">
      <c r="E78">
        <v>81920</v>
      </c>
      <c r="F78">
        <v>4247780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Багриновский Георгий Олегович</dc:creator>
  <cp:lastModifiedBy>Багриновский Георгий Олегович</cp:lastModifiedBy>
  <dcterms:created xsi:type="dcterms:W3CDTF">2026-09-29T05:45:56Z</dcterms:created>
  <dcterms:modified xsi:type="dcterms:W3CDTF">2026-09-29T06:50:20Z</dcterms:modified>
</cp:coreProperties>
</file>